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eishen\Documents\anaconda3\scrapy\master python scrapy\chapter 21\anjukepjt\"/>
    </mc:Choice>
  </mc:AlternateContent>
  <bookViews>
    <workbookView xWindow="0" yWindow="0" windowWidth="19200" windowHeight="7440" activeTab="2"/>
  </bookViews>
  <sheets>
    <sheet name="Sheet1" sheetId="1" r:id="rId1"/>
    <sheet name="Sheet2" sheetId="2" r:id="rId2"/>
    <sheet name="Sheet4" sheetId="4" r:id="rId3"/>
    <sheet name="Sheet3" sheetId="3" r:id="rId4"/>
  </sheets>
  <definedNames>
    <definedName name="_xlnm._FilterDatabase" localSheetId="1" hidden="1">Sheet2!$A$1:$B$21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4" l="1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K2" i="4"/>
  <c r="K1" i="4"/>
  <c r="S21" i="4" l="1"/>
  <c r="S20" i="4"/>
  <c r="S19" i="4"/>
  <c r="S18" i="4"/>
  <c r="S17" i="4"/>
  <c r="S16" i="4"/>
  <c r="S15" i="4"/>
  <c r="S14" i="4"/>
  <c r="S13" i="4"/>
  <c r="S12" i="4"/>
  <c r="S11" i="4"/>
  <c r="S10" i="4"/>
  <c r="S9" i="4"/>
  <c r="S8" i="4"/>
  <c r="S7" i="4"/>
  <c r="S6" i="4"/>
  <c r="S5" i="4"/>
  <c r="S4" i="4"/>
  <c r="S3" i="4"/>
  <c r="S2" i="4"/>
  <c r="Q22" i="4" l="1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Q2" i="4"/>
  <c r="Q1" i="4"/>
  <c r="R22" i="4"/>
  <c r="R21" i="4"/>
  <c r="R20" i="4"/>
  <c r="R19" i="4"/>
  <c r="R18" i="4"/>
  <c r="R17" i="4"/>
  <c r="R16" i="4"/>
  <c r="R15" i="4"/>
  <c r="R14" i="4"/>
  <c r="R13" i="4"/>
  <c r="R12" i="4"/>
  <c r="R11" i="4"/>
  <c r="R10" i="4"/>
  <c r="R9" i="4"/>
  <c r="R8" i="4"/>
  <c r="R7" i="4"/>
  <c r="R6" i="4"/>
  <c r="R5" i="4"/>
  <c r="R4" i="4"/>
  <c r="R3" i="4"/>
  <c r="R2" i="4"/>
  <c r="R1" i="4"/>
  <c r="S1" i="4"/>
</calcChain>
</file>

<file path=xl/sharedStrings.xml><?xml version="1.0" encoding="utf-8"?>
<sst xmlns="http://schemas.openxmlformats.org/spreadsheetml/2006/main" count="574" uniqueCount="125">
  <si>
    <t>qywz1</t>
  </si>
  <si>
    <t>南昌县,象湖新城,</t>
  </si>
  <si>
    <t>经开区,南昌经济技术开发区,</t>
  </si>
  <si>
    <t>青云谱,青云谱,</t>
  </si>
  <si>
    <t>西湖,朝阳新城,</t>
  </si>
  <si>
    <t>新建区,新建区,</t>
  </si>
  <si>
    <t>高新开发区,高新开发区,</t>
  </si>
  <si>
    <t>南昌县,南昌县,</t>
  </si>
  <si>
    <t>南昌县,莲塘,</t>
  </si>
  <si>
    <t>湾里,湾里,</t>
  </si>
  <si>
    <t>桑海经济开发区,桑海经济开发区,</t>
  </si>
  <si>
    <t>高新开发区,京东,</t>
  </si>
  <si>
    <t>东湖,东湖,</t>
  </si>
  <si>
    <t>青山湖,青山湖,</t>
  </si>
  <si>
    <t>西湖,西湖,</t>
  </si>
  <si>
    <t>进贤县,进贤县,</t>
  </si>
  <si>
    <t>红谷滩,凤凰洲,</t>
  </si>
  <si>
    <t>红谷滩,红谷滩,</t>
  </si>
  <si>
    <t>青山湖,城东,</t>
  </si>
  <si>
    <t>红谷滩,红角洲,</t>
  </si>
  <si>
    <t>高安市,高安,</t>
  </si>
  <si>
    <r>
      <rPr>
        <sz val="10"/>
        <rFont val="宋体"/>
        <family val="3"/>
        <charset val="134"/>
      </rPr>
      <t>红谷滩</t>
    </r>
    <r>
      <rPr>
        <sz val="11"/>
        <color theme="1"/>
        <rFont val="宋体"/>
        <family val="2"/>
        <charset val="134"/>
        <scheme val="minor"/>
      </rPr>
      <t>,</t>
    </r>
    <r>
      <rPr>
        <sz val="10"/>
        <rFont val="宋体"/>
        <family val="3"/>
        <charset val="134"/>
      </rPr>
      <t>九龙湖新城</t>
    </r>
    <r>
      <rPr>
        <sz val="11"/>
        <color theme="1"/>
        <rFont val="宋体"/>
        <family val="2"/>
        <charset val="134"/>
        <scheme val="minor"/>
      </rPr>
      <t>,</t>
    </r>
    <phoneticPr fontId="4" type="noConversion"/>
  </si>
  <si>
    <t>DD</t>
    <phoneticPr fontId="4" type="noConversion"/>
  </si>
  <si>
    <t>JX</t>
    <phoneticPr fontId="4" type="noConversion"/>
  </si>
  <si>
    <t>GG</t>
  </si>
  <si>
    <t>DD</t>
  </si>
  <si>
    <t>JX</t>
  </si>
  <si>
    <t>GG</t>
    <phoneticPr fontId="4" type="noConversion"/>
  </si>
  <si>
    <t>GG</t>
    <phoneticPr fontId="1" type="noConversion"/>
  </si>
  <si>
    <t>HG</t>
  </si>
  <si>
    <t>HG</t>
    <phoneticPr fontId="4" type="noConversion"/>
  </si>
  <si>
    <t>JK</t>
  </si>
  <si>
    <t>JK</t>
    <phoneticPr fontId="4" type="noConversion"/>
  </si>
  <si>
    <t>NC</t>
  </si>
  <si>
    <t>NC</t>
    <phoneticPr fontId="4" type="noConversion"/>
  </si>
  <si>
    <t>QS</t>
  </si>
  <si>
    <t>QS</t>
    <phoneticPr fontId="4" type="noConversion"/>
  </si>
  <si>
    <t>QY</t>
  </si>
  <si>
    <t>QY</t>
    <phoneticPr fontId="4" type="noConversion"/>
  </si>
  <si>
    <t>SH</t>
  </si>
  <si>
    <t>SH</t>
    <phoneticPr fontId="4" type="noConversion"/>
  </si>
  <si>
    <t>WL</t>
  </si>
  <si>
    <t>WL</t>
    <phoneticPr fontId="4" type="noConversion"/>
  </si>
  <si>
    <t>XH</t>
  </si>
  <si>
    <t>XH</t>
    <phoneticPr fontId="4" type="noConversion"/>
  </si>
  <si>
    <t>XJ</t>
  </si>
  <si>
    <t>XJ</t>
    <phoneticPr fontId="4" type="noConversion"/>
  </si>
  <si>
    <t>GA</t>
  </si>
  <si>
    <t>GA</t>
    <phoneticPr fontId="4" type="noConversion"/>
  </si>
  <si>
    <t>y1</t>
    <phoneticPr fontId="1" type="noConversion"/>
  </si>
  <si>
    <t>y2</t>
    <phoneticPr fontId="1" type="noConversion"/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</si>
  <si>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</si>
  <si>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</si>
  <si>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</si>
  <si>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</si>
  <si>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</si>
  <si>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</si>
  <si>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</si>
  <si>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</si>
  <si>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</si>
  <si>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y12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</si>
  <si>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</si>
  <si>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</si>
  <si>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</si>
  <si>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</si>
  <si>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</si>
  <si>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</si>
  <si>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</si>
  <si>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</si>
  <si>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</si>
  <si>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,</t>
    <phoneticPr fontId="1" type="noConversion"/>
  </si>
  <si>
    <t>"</t>
    <phoneticPr fontId="1" type="noConversion"/>
  </si>
  <si>
    <t>y1,y2,y3,y4,y5,y6,y7,y8,y9,y10,y11,y12,y13,y14,y15,y16,y17,y18,y19,y20,y21,</t>
    <phoneticPr fontId="1" type="noConversion"/>
  </si>
  <si>
    <t>GAGA</t>
    <phoneticPr fontId="4" type="noConversion"/>
  </si>
  <si>
    <t>GJ</t>
    <phoneticPr fontId="4" type="noConversion"/>
  </si>
  <si>
    <t>HF</t>
    <phoneticPr fontId="4" type="noConversion"/>
  </si>
  <si>
    <t>HH</t>
    <phoneticPr fontId="4" type="noConversion"/>
  </si>
  <si>
    <t>HGHJ</t>
    <phoneticPr fontId="4" type="noConversion"/>
  </si>
  <si>
    <t>HJ</t>
    <phoneticPr fontId="4" type="noConversion"/>
  </si>
  <si>
    <t>JX</t>
    <phoneticPr fontId="4" type="noConversion"/>
  </si>
  <si>
    <t>JN</t>
    <phoneticPr fontId="4" type="noConversion"/>
  </si>
  <si>
    <t>NL</t>
    <phoneticPr fontId="4" type="noConversion"/>
  </si>
  <si>
    <t>NN</t>
    <phoneticPr fontId="4" type="noConversion"/>
  </si>
  <si>
    <t>NX</t>
    <phoneticPr fontId="4" type="noConversion"/>
  </si>
  <si>
    <t>QC</t>
    <phoneticPr fontId="4" type="noConversion"/>
  </si>
  <si>
    <t>QSQS</t>
    <phoneticPr fontId="4" type="noConversion"/>
  </si>
  <si>
    <t>QQ</t>
    <phoneticPr fontId="4" type="noConversion"/>
  </si>
  <si>
    <t>SS</t>
    <phoneticPr fontId="4" type="noConversion"/>
  </si>
  <si>
    <t>WW</t>
    <phoneticPr fontId="4" type="noConversion"/>
  </si>
  <si>
    <t>XC</t>
    <phoneticPr fontId="4" type="noConversion"/>
  </si>
  <si>
    <t>XHXH</t>
    <phoneticPr fontId="4" type="noConversion"/>
  </si>
  <si>
    <t>XX</t>
    <phoneticPr fontId="4" type="noConversion"/>
  </si>
  <si>
    <t>],15000)</t>
    <phoneticPr fontId="1" type="noConversion"/>
  </si>
  <si>
    <t>&lt;- c(anjukefile$ckjg1[anjukefile$qywz1==</t>
    <phoneticPr fontId="1" type="noConversion"/>
  </si>
  <si>
    <t>y1&lt;- c(anjukefile$ckjg1[anjukefile$qywz1=='DD'],15000)</t>
  </si>
  <si>
    <t>y2&lt;- c(anjukefile$ckjg1[anjukefile$qywz1=='GAGA'],15000)</t>
  </si>
  <si>
    <t>y3&lt;- c(anjukefile$ckjg1[anjukefile$qywz1=='GG'],15000)</t>
  </si>
  <si>
    <t>y4&lt;- c(anjukefile$ckjg1[anjukefile$qywz1=='GJ'],15000)</t>
  </si>
  <si>
    <t>y5&lt;- c(anjukefile$ckjg1[anjukefile$qywz1=='HF'],15000)</t>
  </si>
  <si>
    <t>y6&lt;- c(anjukefile$ckjg1[anjukefile$qywz1=='HH'],15000)</t>
  </si>
  <si>
    <t>y7&lt;- c(anjukefile$ckjg1[anjukefile$qywz1=='HGHJ'],15000)</t>
  </si>
  <si>
    <t>y8&lt;- c(anjukefile$ckjg1[anjukefile$qywz1=='HJ'],15000)</t>
  </si>
  <si>
    <t>y9&lt;- c(anjukefile$ckjg1[anjukefile$qywz1=='JX'],15000)</t>
  </si>
  <si>
    <t>y10&lt;- c(anjukefile$ckjg1[anjukefile$qywz1=='JN'],15000)</t>
  </si>
  <si>
    <t>y11&lt;- c(anjukefile$ckjg1[anjukefile$qywz1=='NL'],15000)</t>
  </si>
  <si>
    <t>y12&lt;- c(anjukefile$ckjg1[anjukefile$qywz1=='NN'],15000)</t>
  </si>
  <si>
    <t>y13&lt;- c(anjukefile$ckjg1[anjukefile$qywz1=='NX'],15000)</t>
  </si>
  <si>
    <t>y14&lt;- c(anjukefile$ckjg1[anjukefile$qywz1=='QC'],15000)</t>
  </si>
  <si>
    <t>y15&lt;- c(anjukefile$ckjg1[anjukefile$qywz1=='QSQS'],15000)</t>
  </si>
  <si>
    <t>y16&lt;- c(anjukefile$ckjg1[anjukefile$qywz1=='QQ'],15000)</t>
  </si>
  <si>
    <t>y17&lt;- c(anjukefile$ckjg1[anjukefile$qywz1=='SS'],15000)</t>
  </si>
  <si>
    <t>y18&lt;- c(anjukefile$ckjg1[anjukefile$qywz1=='WW'],15000)</t>
  </si>
  <si>
    <t>y19&lt;- c(anjukefile$ckjg1[anjukefile$qywz1=='XC'],15000)</t>
  </si>
  <si>
    <t>y20&lt;- c(anjukefile$ckjg1[anjukefile$qywz1=='XHXH'],15000)</t>
  </si>
  <si>
    <t>y21&lt;- c(anjukefile$ckjg1[anjukefile$qywz1=='XX'],15000)</t>
  </si>
  <si>
    <t>&lt;-c(</t>
    <phoneticPr fontId="1" type="noConversion"/>
  </si>
  <si>
    <t>,15000)</t>
    <phoneticPr fontId="1" type="noConversion"/>
  </si>
  <si>
    <t>if (is.null(y1)) y1&lt;-c(y1,15000)</t>
    <phoneticPr fontId="1" type="noConversion"/>
  </si>
  <si>
    <t>"DD","GAGA","GG","GJ","HF","HH","HGHJ","HJ","JX","JN","NL","NN","NX","QC","QSQS","QQ","SS","WW","XC","XHXH","XX",</t>
    <phoneticPr fontId="1" type="noConversion"/>
  </si>
  <si>
    <t>if (length(</t>
    <phoneticPr fontId="1" type="noConversion"/>
  </si>
  <si>
    <t xml:space="preserve">)==0) </t>
    <phoneticPr fontId="1" type="noConversion"/>
  </si>
  <si>
    <t xml:space="preserve"> else </t>
    <phoneticPr fontId="1" type="noConversion"/>
  </si>
  <si>
    <t>&lt;-c(</t>
    <phoneticPr fontId="1" type="noConversion"/>
  </si>
  <si>
    <t>,mean(</t>
    <phoneticPr fontId="1" type="noConversion"/>
  </si>
  <si>
    <t>)+100)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</si>
</sst>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"/>
      <color indexed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Fill="1" applyAlignment="1"/>
    <xf numFmtId="0" fontId="0" fillId="0" borderId="0" xfId="0" applyFill="1" applyAlignment="1"/>
    <xf numFmtId="0" fontId="0" fillId="0" borderId="0" xfId="0" applyAlignment="1"/>
    <xf numFmtId="0" fontId="0" fillId="0" borderId="0" xfId="0" quotePrefix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01"/>
  <sheetViews>
    <sheetView topLeftCell="A10" workbookViewId="0">
      <selection sqref="A1:A1048576"/>
    </sheetView>
  </sheetViews>
  <sheetFormatPr defaultRowHeight="14" x14ac:dyDescent="0.25"/>
  <cols>
    <col min="1" max="1" width="22.54296875" style="2" customWidth="1"/>
  </cols>
  <sheetData>
    <row r="1" spans="1:1" x14ac:dyDescent="0.3">
      <c r="A1" s="1" t="s">
        <v>0</v>
      </c>
    </row>
    <row r="2" spans="1:1" x14ac:dyDescent="0.25">
      <c r="A2" s="2" t="s">
        <v>33</v>
      </c>
    </row>
    <row r="3" spans="1:1" x14ac:dyDescent="0.25">
      <c r="A3" s="2" t="s">
        <v>33</v>
      </c>
    </row>
    <row r="4" spans="1:1" x14ac:dyDescent="0.25">
      <c r="A4" s="2" t="s">
        <v>31</v>
      </c>
    </row>
    <row r="5" spans="1:1" x14ac:dyDescent="0.25">
      <c r="A5" s="2" t="s">
        <v>37</v>
      </c>
    </row>
    <row r="6" spans="1:1" x14ac:dyDescent="0.25">
      <c r="A6" s="2" t="s">
        <v>43</v>
      </c>
    </row>
    <row r="7" spans="1:1" x14ac:dyDescent="0.25">
      <c r="A7" s="2" t="s">
        <v>45</v>
      </c>
    </row>
    <row r="8" spans="1:1" x14ac:dyDescent="0.25">
      <c r="A8" s="2" t="s">
        <v>24</v>
      </c>
    </row>
    <row r="9" spans="1:1" x14ac:dyDescent="0.25">
      <c r="A9" s="2" t="s">
        <v>29</v>
      </c>
    </row>
    <row r="10" spans="1:1" x14ac:dyDescent="0.25">
      <c r="A10" s="2" t="s">
        <v>33</v>
      </c>
    </row>
    <row r="11" spans="1:1" x14ac:dyDescent="0.25">
      <c r="A11" s="2" t="s">
        <v>33</v>
      </c>
    </row>
    <row r="12" spans="1:1" x14ac:dyDescent="0.25">
      <c r="A12" s="2" t="s">
        <v>33</v>
      </c>
    </row>
    <row r="13" spans="1:1" x14ac:dyDescent="0.25">
      <c r="A13" s="2" t="s">
        <v>33</v>
      </c>
    </row>
    <row r="14" spans="1:1" x14ac:dyDescent="0.25">
      <c r="A14" s="2" t="s">
        <v>43</v>
      </c>
    </row>
    <row r="15" spans="1:1" x14ac:dyDescent="0.25">
      <c r="A15" s="2" t="s">
        <v>41</v>
      </c>
    </row>
    <row r="16" spans="1:1" x14ac:dyDescent="0.25">
      <c r="A16" s="2" t="s">
        <v>41</v>
      </c>
    </row>
    <row r="17" spans="1:1" x14ac:dyDescent="0.25">
      <c r="A17" s="2" t="s">
        <v>39</v>
      </c>
    </row>
    <row r="18" spans="1:1" x14ac:dyDescent="0.25">
      <c r="A18" s="2" t="s">
        <v>33</v>
      </c>
    </row>
    <row r="19" spans="1:1" x14ac:dyDescent="0.25">
      <c r="A19" s="2" t="s">
        <v>33</v>
      </c>
    </row>
    <row r="20" spans="1:1" x14ac:dyDescent="0.25">
      <c r="A20" s="2" t="s">
        <v>33</v>
      </c>
    </row>
    <row r="21" spans="1:1" x14ac:dyDescent="0.25">
      <c r="A21" s="2" t="s">
        <v>24</v>
      </c>
    </row>
    <row r="22" spans="1:1" x14ac:dyDescent="0.25">
      <c r="A22" s="2" t="s">
        <v>25</v>
      </c>
    </row>
    <row r="23" spans="1:1" x14ac:dyDescent="0.25">
      <c r="A23" s="2" t="s">
        <v>35</v>
      </c>
    </row>
    <row r="24" spans="1:1" x14ac:dyDescent="0.25">
      <c r="A24" s="2" t="s">
        <v>43</v>
      </c>
    </row>
    <row r="25" spans="1:1" x14ac:dyDescent="0.25">
      <c r="A25" s="2" t="s">
        <v>29</v>
      </c>
    </row>
    <row r="26" spans="1:1" x14ac:dyDescent="0.25">
      <c r="A26" s="2" t="s">
        <v>25</v>
      </c>
    </row>
    <row r="27" spans="1:1" x14ac:dyDescent="0.25">
      <c r="A27" s="2" t="s">
        <v>41</v>
      </c>
    </row>
    <row r="28" spans="1:1" x14ac:dyDescent="0.25">
      <c r="A28" s="2" t="s">
        <v>39</v>
      </c>
    </row>
    <row r="29" spans="1:1" x14ac:dyDescent="0.25">
      <c r="A29" s="2" t="s">
        <v>26</v>
      </c>
    </row>
    <row r="30" spans="1:1" x14ac:dyDescent="0.25">
      <c r="A30" s="2" t="s">
        <v>39</v>
      </c>
    </row>
    <row r="31" spans="1:1" x14ac:dyDescent="0.25">
      <c r="A31" s="2" t="s">
        <v>33</v>
      </c>
    </row>
    <row r="32" spans="1:1" x14ac:dyDescent="0.25">
      <c r="A32" s="2" t="s">
        <v>33</v>
      </c>
    </row>
    <row r="33" spans="1:1" x14ac:dyDescent="0.25">
      <c r="A33" s="2" t="s">
        <v>33</v>
      </c>
    </row>
    <row r="34" spans="1:1" x14ac:dyDescent="0.25">
      <c r="A34" s="2" t="s">
        <v>37</v>
      </c>
    </row>
    <row r="35" spans="1:1" x14ac:dyDescent="0.25">
      <c r="A35" s="2" t="s">
        <v>37</v>
      </c>
    </row>
    <row r="36" spans="1:1" x14ac:dyDescent="0.25">
      <c r="A36" s="2" t="s">
        <v>41</v>
      </c>
    </row>
    <row r="37" spans="1:1" x14ac:dyDescent="0.25">
      <c r="A37" s="2" t="s">
        <v>33</v>
      </c>
    </row>
    <row r="38" spans="1:1" x14ac:dyDescent="0.25">
      <c r="A38" s="2" t="s">
        <v>45</v>
      </c>
    </row>
    <row r="39" spans="1:1" x14ac:dyDescent="0.25">
      <c r="A39" s="2" t="s">
        <v>41</v>
      </c>
    </row>
    <row r="40" spans="1:1" x14ac:dyDescent="0.25">
      <c r="A40" s="2" t="s">
        <v>24</v>
      </c>
    </row>
    <row r="41" spans="1:1" x14ac:dyDescent="0.25">
      <c r="A41" s="2" t="s">
        <v>41</v>
      </c>
    </row>
    <row r="42" spans="1:1" x14ac:dyDescent="0.25">
      <c r="A42" s="2" t="s">
        <v>25</v>
      </c>
    </row>
    <row r="43" spans="1:1" x14ac:dyDescent="0.25">
      <c r="A43" s="2" t="s">
        <v>24</v>
      </c>
    </row>
    <row r="44" spans="1:1" x14ac:dyDescent="0.25">
      <c r="A44" s="2" t="s">
        <v>35</v>
      </c>
    </row>
    <row r="45" spans="1:1" x14ac:dyDescent="0.25">
      <c r="A45" s="2" t="s">
        <v>29</v>
      </c>
    </row>
    <row r="46" spans="1:1" x14ac:dyDescent="0.25">
      <c r="A46" s="2" t="s">
        <v>45</v>
      </c>
    </row>
    <row r="47" spans="1:1" x14ac:dyDescent="0.25">
      <c r="A47" s="2" t="s">
        <v>37</v>
      </c>
    </row>
    <row r="48" spans="1:1" x14ac:dyDescent="0.25">
      <c r="A48" s="2" t="s">
        <v>35</v>
      </c>
    </row>
    <row r="49" spans="1:1" x14ac:dyDescent="0.25">
      <c r="A49" s="2" t="s">
        <v>35</v>
      </c>
    </row>
    <row r="50" spans="1:1" x14ac:dyDescent="0.25">
      <c r="A50" s="2" t="s">
        <v>35</v>
      </c>
    </row>
    <row r="51" spans="1:1" x14ac:dyDescent="0.25">
      <c r="A51" s="2" t="s">
        <v>39</v>
      </c>
    </row>
    <row r="52" spans="1:1" x14ac:dyDescent="0.25">
      <c r="A52" s="2" t="s">
        <v>41</v>
      </c>
    </row>
    <row r="53" spans="1:1" x14ac:dyDescent="0.25">
      <c r="A53" s="2" t="s">
        <v>41</v>
      </c>
    </row>
    <row r="54" spans="1:1" x14ac:dyDescent="0.25">
      <c r="A54" s="2" t="s">
        <v>33</v>
      </c>
    </row>
    <row r="55" spans="1:1" x14ac:dyDescent="0.25">
      <c r="A55" s="2" t="s">
        <v>45</v>
      </c>
    </row>
    <row r="56" spans="1:1" x14ac:dyDescent="0.25">
      <c r="A56" s="2" t="s">
        <v>26</v>
      </c>
    </row>
    <row r="57" spans="1:1" x14ac:dyDescent="0.25">
      <c r="A57" s="2" t="s">
        <v>45</v>
      </c>
    </row>
    <row r="58" spans="1:1" x14ac:dyDescent="0.25">
      <c r="A58" s="2" t="s">
        <v>24</v>
      </c>
    </row>
    <row r="59" spans="1:1" x14ac:dyDescent="0.25">
      <c r="A59" s="2" t="s">
        <v>24</v>
      </c>
    </row>
    <row r="60" spans="1:1" x14ac:dyDescent="0.25">
      <c r="A60" s="2" t="s">
        <v>29</v>
      </c>
    </row>
    <row r="61" spans="1:1" x14ac:dyDescent="0.25">
      <c r="A61" s="2" t="s">
        <v>29</v>
      </c>
    </row>
    <row r="62" spans="1:1" x14ac:dyDescent="0.25">
      <c r="A62" s="2" t="s">
        <v>31</v>
      </c>
    </row>
    <row r="63" spans="1:1" x14ac:dyDescent="0.25">
      <c r="A63" s="2" t="s">
        <v>35</v>
      </c>
    </row>
    <row r="64" spans="1:1" x14ac:dyDescent="0.25">
      <c r="A64" s="2" t="s">
        <v>26</v>
      </c>
    </row>
    <row r="65" spans="1:1" x14ac:dyDescent="0.25">
      <c r="A65" s="2" t="s">
        <v>33</v>
      </c>
    </row>
    <row r="66" spans="1:1" x14ac:dyDescent="0.25">
      <c r="A66" s="2" t="s">
        <v>31</v>
      </c>
    </row>
    <row r="67" spans="1:1" x14ac:dyDescent="0.25">
      <c r="A67" s="2" t="s">
        <v>33</v>
      </c>
    </row>
    <row r="68" spans="1:1" x14ac:dyDescent="0.25">
      <c r="A68" s="2" t="s">
        <v>33</v>
      </c>
    </row>
    <row r="69" spans="1:1" x14ac:dyDescent="0.25">
      <c r="A69" s="2" t="s">
        <v>41</v>
      </c>
    </row>
    <row r="70" spans="1:1" x14ac:dyDescent="0.25">
      <c r="A70" s="2" t="s">
        <v>24</v>
      </c>
    </row>
    <row r="71" spans="1:1" x14ac:dyDescent="0.25">
      <c r="A71" s="2" t="s">
        <v>25</v>
      </c>
    </row>
    <row r="72" spans="1:1" x14ac:dyDescent="0.25">
      <c r="A72" s="2" t="s">
        <v>43</v>
      </c>
    </row>
    <row r="73" spans="1:1" x14ac:dyDescent="0.25">
      <c r="A73" s="2" t="s">
        <v>41</v>
      </c>
    </row>
    <row r="74" spans="1:1" x14ac:dyDescent="0.25">
      <c r="A74" s="2" t="s">
        <v>43</v>
      </c>
    </row>
    <row r="75" spans="1:1" x14ac:dyDescent="0.25">
      <c r="A75" s="2" t="s">
        <v>31</v>
      </c>
    </row>
    <row r="76" spans="1:1" x14ac:dyDescent="0.25">
      <c r="A76" s="2" t="s">
        <v>24</v>
      </c>
    </row>
    <row r="77" spans="1:1" x14ac:dyDescent="0.25">
      <c r="A77" s="2" t="s">
        <v>29</v>
      </c>
    </row>
    <row r="78" spans="1:1" x14ac:dyDescent="0.25">
      <c r="A78" s="2" t="s">
        <v>29</v>
      </c>
    </row>
    <row r="79" spans="1:1" x14ac:dyDescent="0.25">
      <c r="A79" s="2" t="s">
        <v>26</v>
      </c>
    </row>
    <row r="80" spans="1:1" x14ac:dyDescent="0.25">
      <c r="A80" s="2" t="s">
        <v>33</v>
      </c>
    </row>
    <row r="81" spans="1:1" x14ac:dyDescent="0.25">
      <c r="A81" s="2" t="s">
        <v>26</v>
      </c>
    </row>
    <row r="82" spans="1:1" x14ac:dyDescent="0.25">
      <c r="A82" s="2" t="s">
        <v>35</v>
      </c>
    </row>
    <row r="83" spans="1:1" x14ac:dyDescent="0.25">
      <c r="A83" s="2" t="s">
        <v>41</v>
      </c>
    </row>
    <row r="84" spans="1:1" x14ac:dyDescent="0.25">
      <c r="A84" s="2" t="s">
        <v>41</v>
      </c>
    </row>
    <row r="85" spans="1:1" x14ac:dyDescent="0.25">
      <c r="A85" s="2" t="s">
        <v>31</v>
      </c>
    </row>
    <row r="86" spans="1:1" x14ac:dyDescent="0.25">
      <c r="A86" s="2" t="s">
        <v>31</v>
      </c>
    </row>
    <row r="87" spans="1:1" x14ac:dyDescent="0.25">
      <c r="A87" s="2" t="s">
        <v>31</v>
      </c>
    </row>
    <row r="88" spans="1:1" x14ac:dyDescent="0.25">
      <c r="A88" s="2" t="s">
        <v>35</v>
      </c>
    </row>
    <row r="89" spans="1:1" x14ac:dyDescent="0.25">
      <c r="A89" s="2" t="s">
        <v>43</v>
      </c>
    </row>
    <row r="90" spans="1:1" x14ac:dyDescent="0.25">
      <c r="A90" s="2" t="s">
        <v>37</v>
      </c>
    </row>
    <row r="91" spans="1:1" x14ac:dyDescent="0.25">
      <c r="A91" s="2" t="s">
        <v>41</v>
      </c>
    </row>
    <row r="92" spans="1:1" x14ac:dyDescent="0.25">
      <c r="A92" s="2" t="s">
        <v>35</v>
      </c>
    </row>
    <row r="93" spans="1:1" x14ac:dyDescent="0.25">
      <c r="A93" s="2" t="s">
        <v>35</v>
      </c>
    </row>
    <row r="94" spans="1:1" x14ac:dyDescent="0.25">
      <c r="A94" s="2" t="s">
        <v>33</v>
      </c>
    </row>
    <row r="95" spans="1:1" x14ac:dyDescent="0.25">
      <c r="A95" s="2" t="s">
        <v>29</v>
      </c>
    </row>
    <row r="96" spans="1:1" x14ac:dyDescent="0.25">
      <c r="A96" s="2" t="s">
        <v>43</v>
      </c>
    </row>
    <row r="97" spans="1:1" x14ac:dyDescent="0.25">
      <c r="A97" s="2" t="s">
        <v>41</v>
      </c>
    </row>
    <row r="98" spans="1:1" x14ac:dyDescent="0.25">
      <c r="A98" s="2" t="s">
        <v>24</v>
      </c>
    </row>
    <row r="99" spans="1:1" x14ac:dyDescent="0.25">
      <c r="A99" s="2" t="s">
        <v>31</v>
      </c>
    </row>
    <row r="100" spans="1:1" x14ac:dyDescent="0.25">
      <c r="A100" s="2" t="s">
        <v>31</v>
      </c>
    </row>
    <row r="101" spans="1:1" x14ac:dyDescent="0.25">
      <c r="A101" s="2" t="s">
        <v>43</v>
      </c>
    </row>
    <row r="102" spans="1:1" x14ac:dyDescent="0.25">
      <c r="A102" s="2" t="s">
        <v>29</v>
      </c>
    </row>
    <row r="103" spans="1:1" x14ac:dyDescent="0.25">
      <c r="A103" s="2" t="s">
        <v>37</v>
      </c>
    </row>
    <row r="104" spans="1:1" x14ac:dyDescent="0.25">
      <c r="A104" s="2" t="s">
        <v>43</v>
      </c>
    </row>
    <row r="105" spans="1:1" x14ac:dyDescent="0.25">
      <c r="A105" s="2" t="s">
        <v>29</v>
      </c>
    </row>
    <row r="106" spans="1:1" x14ac:dyDescent="0.25">
      <c r="A106" s="2" t="s">
        <v>33</v>
      </c>
    </row>
    <row r="107" spans="1:1" x14ac:dyDescent="0.25">
      <c r="A107" s="2" t="s">
        <v>43</v>
      </c>
    </row>
    <row r="108" spans="1:1" x14ac:dyDescent="0.25">
      <c r="A108" s="2" t="s">
        <v>29</v>
      </c>
    </row>
    <row r="109" spans="1:1" x14ac:dyDescent="0.25">
      <c r="A109" s="2" t="s">
        <v>24</v>
      </c>
    </row>
    <row r="110" spans="1:1" x14ac:dyDescent="0.25">
      <c r="A110" s="2" t="s">
        <v>29</v>
      </c>
    </row>
    <row r="111" spans="1:1" x14ac:dyDescent="0.25">
      <c r="A111" s="2" t="s">
        <v>33</v>
      </c>
    </row>
    <row r="112" spans="1:1" x14ac:dyDescent="0.25">
      <c r="A112" s="2" t="s">
        <v>31</v>
      </c>
    </row>
    <row r="113" spans="1:1" x14ac:dyDescent="0.25">
      <c r="A113" s="2" t="s">
        <v>37</v>
      </c>
    </row>
    <row r="114" spans="1:1" x14ac:dyDescent="0.25">
      <c r="A114" s="2" t="s">
        <v>33</v>
      </c>
    </row>
    <row r="115" spans="1:1" x14ac:dyDescent="0.25">
      <c r="A115" s="2" t="s">
        <v>35</v>
      </c>
    </row>
    <row r="116" spans="1:1" x14ac:dyDescent="0.25">
      <c r="A116" s="2" t="s">
        <v>29</v>
      </c>
    </row>
    <row r="117" spans="1:1" x14ac:dyDescent="0.25">
      <c r="A117" s="2" t="s">
        <v>37</v>
      </c>
    </row>
    <row r="118" spans="1:1" x14ac:dyDescent="0.25">
      <c r="A118" s="2" t="s">
        <v>29</v>
      </c>
    </row>
    <row r="119" spans="1:1" x14ac:dyDescent="0.25">
      <c r="A119" s="2" t="s">
        <v>45</v>
      </c>
    </row>
    <row r="120" spans="1:1" x14ac:dyDescent="0.25">
      <c r="A120" s="2" t="s">
        <v>41</v>
      </c>
    </row>
    <row r="121" spans="1:1" x14ac:dyDescent="0.25">
      <c r="A121" s="2" t="s">
        <v>29</v>
      </c>
    </row>
    <row r="122" spans="1:1" x14ac:dyDescent="0.25">
      <c r="A122" s="2" t="s">
        <v>29</v>
      </c>
    </row>
    <row r="123" spans="1:1" x14ac:dyDescent="0.25">
      <c r="A123" s="2" t="s">
        <v>31</v>
      </c>
    </row>
    <row r="124" spans="1:1" x14ac:dyDescent="0.25">
      <c r="A124" s="2" t="s">
        <v>45</v>
      </c>
    </row>
    <row r="125" spans="1:1" x14ac:dyDescent="0.25">
      <c r="A125" s="2" t="s">
        <v>24</v>
      </c>
    </row>
    <row r="126" spans="1:1" x14ac:dyDescent="0.25">
      <c r="A126" s="2" t="s">
        <v>43</v>
      </c>
    </row>
    <row r="127" spans="1:1" x14ac:dyDescent="0.25">
      <c r="A127" s="2" t="s">
        <v>43</v>
      </c>
    </row>
    <row r="128" spans="1:1" x14ac:dyDescent="0.25">
      <c r="A128" s="2" t="s">
        <v>33</v>
      </c>
    </row>
    <row r="129" spans="1:1" x14ac:dyDescent="0.25">
      <c r="A129" s="2" t="s">
        <v>25</v>
      </c>
    </row>
    <row r="130" spans="1:1" x14ac:dyDescent="0.25">
      <c r="A130" s="2" t="s">
        <v>35</v>
      </c>
    </row>
    <row r="131" spans="1:1" x14ac:dyDescent="0.25">
      <c r="A131" s="2" t="s">
        <v>43</v>
      </c>
    </row>
    <row r="132" spans="1:1" x14ac:dyDescent="0.25">
      <c r="A132" s="2" t="s">
        <v>33</v>
      </c>
    </row>
    <row r="133" spans="1:1" x14ac:dyDescent="0.25">
      <c r="A133" s="2" t="s">
        <v>31</v>
      </c>
    </row>
    <row r="134" spans="1:1" x14ac:dyDescent="0.25">
      <c r="A134" s="2" t="s">
        <v>29</v>
      </c>
    </row>
    <row r="135" spans="1:1" x14ac:dyDescent="0.25">
      <c r="A135" s="2" t="s">
        <v>33</v>
      </c>
    </row>
    <row r="136" spans="1:1" x14ac:dyDescent="0.25">
      <c r="A136" s="2" t="s">
        <v>24</v>
      </c>
    </row>
    <row r="137" spans="1:1" x14ac:dyDescent="0.25">
      <c r="A137" s="2" t="s">
        <v>31</v>
      </c>
    </row>
    <row r="138" spans="1:1" x14ac:dyDescent="0.25">
      <c r="A138" s="2" t="s">
        <v>37</v>
      </c>
    </row>
    <row r="139" spans="1:1" x14ac:dyDescent="0.25">
      <c r="A139" s="2" t="s">
        <v>33</v>
      </c>
    </row>
    <row r="140" spans="1:1" x14ac:dyDescent="0.25">
      <c r="A140" s="2" t="s">
        <v>25</v>
      </c>
    </row>
    <row r="141" spans="1:1" x14ac:dyDescent="0.25">
      <c r="A141" s="2" t="s">
        <v>43</v>
      </c>
    </row>
    <row r="142" spans="1:1" x14ac:dyDescent="0.25">
      <c r="A142" s="2" t="s">
        <v>43</v>
      </c>
    </row>
    <row r="143" spans="1:1" x14ac:dyDescent="0.25">
      <c r="A143" s="2" t="s">
        <v>33</v>
      </c>
    </row>
    <row r="144" spans="1:1" x14ac:dyDescent="0.25">
      <c r="A144" s="2" t="s">
        <v>33</v>
      </c>
    </row>
    <row r="145" spans="1:1" x14ac:dyDescent="0.25">
      <c r="A145" s="2" t="s">
        <v>33</v>
      </c>
    </row>
    <row r="146" spans="1:1" x14ac:dyDescent="0.25">
      <c r="A146" s="2" t="s">
        <v>24</v>
      </c>
    </row>
    <row r="147" spans="1:1" x14ac:dyDescent="0.25">
      <c r="A147" s="2" t="s">
        <v>24</v>
      </c>
    </row>
    <row r="148" spans="1:1" x14ac:dyDescent="0.25">
      <c r="A148" s="2" t="s">
        <v>29</v>
      </c>
    </row>
    <row r="149" spans="1:1" x14ac:dyDescent="0.25">
      <c r="A149" s="2" t="s">
        <v>41</v>
      </c>
    </row>
    <row r="150" spans="1:1" x14ac:dyDescent="0.25">
      <c r="A150" s="2" t="s">
        <v>25</v>
      </c>
    </row>
    <row r="151" spans="1:1" x14ac:dyDescent="0.25">
      <c r="A151" s="2" t="s">
        <v>29</v>
      </c>
    </row>
    <row r="152" spans="1:1" x14ac:dyDescent="0.25">
      <c r="A152" s="2" t="s">
        <v>33</v>
      </c>
    </row>
    <row r="153" spans="1:1" x14ac:dyDescent="0.25">
      <c r="A153" s="2" t="s">
        <v>37</v>
      </c>
    </row>
    <row r="154" spans="1:1" x14ac:dyDescent="0.25">
      <c r="A154" s="2" t="s">
        <v>25</v>
      </c>
    </row>
    <row r="155" spans="1:1" x14ac:dyDescent="0.25">
      <c r="A155" s="2" t="s">
        <v>41</v>
      </c>
    </row>
    <row r="156" spans="1:1" x14ac:dyDescent="0.25">
      <c r="A156" s="2" t="s">
        <v>43</v>
      </c>
    </row>
    <row r="157" spans="1:1" x14ac:dyDescent="0.25">
      <c r="A157" s="2" t="s">
        <v>43</v>
      </c>
    </row>
    <row r="158" spans="1:1" x14ac:dyDescent="0.25">
      <c r="A158" s="2" t="s">
        <v>47</v>
      </c>
    </row>
    <row r="159" spans="1:1" x14ac:dyDescent="0.25">
      <c r="A159" s="2" t="s">
        <v>29</v>
      </c>
    </row>
    <row r="160" spans="1:1" x14ac:dyDescent="0.25">
      <c r="A160" s="2" t="s">
        <v>31</v>
      </c>
    </row>
    <row r="161" spans="1:1" x14ac:dyDescent="0.25">
      <c r="A161" s="2" t="s">
        <v>29</v>
      </c>
    </row>
    <row r="162" spans="1:1" x14ac:dyDescent="0.25">
      <c r="A162" s="2" t="s">
        <v>24</v>
      </c>
    </row>
    <row r="163" spans="1:1" x14ac:dyDescent="0.25">
      <c r="A163" s="2" t="s">
        <v>29</v>
      </c>
    </row>
    <row r="164" spans="1:1" x14ac:dyDescent="0.25">
      <c r="A164" s="2" t="s">
        <v>29</v>
      </c>
    </row>
    <row r="165" spans="1:1" x14ac:dyDescent="0.25">
      <c r="A165" s="2" t="s">
        <v>29</v>
      </c>
    </row>
    <row r="166" spans="1:1" x14ac:dyDescent="0.25">
      <c r="A166" s="2" t="s">
        <v>37</v>
      </c>
    </row>
    <row r="167" spans="1:1" x14ac:dyDescent="0.25">
      <c r="A167" s="2" t="s">
        <v>45</v>
      </c>
    </row>
    <row r="168" spans="1:1" x14ac:dyDescent="0.25">
      <c r="A168" s="2" t="s">
        <v>31</v>
      </c>
    </row>
    <row r="169" spans="1:1" x14ac:dyDescent="0.25">
      <c r="A169" s="2" t="s">
        <v>43</v>
      </c>
    </row>
    <row r="170" spans="1:1" x14ac:dyDescent="0.25">
      <c r="A170" s="2" t="s">
        <v>41</v>
      </c>
    </row>
    <row r="171" spans="1:1" x14ac:dyDescent="0.25">
      <c r="A171" s="2" t="s">
        <v>29</v>
      </c>
    </row>
    <row r="172" spans="1:1" x14ac:dyDescent="0.25">
      <c r="A172" s="2" t="s">
        <v>33</v>
      </c>
    </row>
    <row r="173" spans="1:1" x14ac:dyDescent="0.25">
      <c r="A173" s="2" t="s">
        <v>29</v>
      </c>
    </row>
    <row r="174" spans="1:1" x14ac:dyDescent="0.25">
      <c r="A174" s="2" t="s">
        <v>29</v>
      </c>
    </row>
    <row r="175" spans="1:1" x14ac:dyDescent="0.25">
      <c r="A175" s="2" t="s">
        <v>45</v>
      </c>
    </row>
    <row r="176" spans="1:1" x14ac:dyDescent="0.25">
      <c r="A176" s="2" t="s">
        <v>33</v>
      </c>
    </row>
    <row r="177" spans="1:1" x14ac:dyDescent="0.25">
      <c r="A177" s="2" t="s">
        <v>33</v>
      </c>
    </row>
    <row r="178" spans="1:1" x14ac:dyDescent="0.25">
      <c r="A178" s="2" t="s">
        <v>33</v>
      </c>
    </row>
    <row r="179" spans="1:1" x14ac:dyDescent="0.25">
      <c r="A179" s="2" t="s">
        <v>45</v>
      </c>
    </row>
    <row r="180" spans="1:1" x14ac:dyDescent="0.25">
      <c r="A180" s="2" t="s">
        <v>45</v>
      </c>
    </row>
    <row r="181" spans="1:1" x14ac:dyDescent="0.25">
      <c r="A181" s="2" t="s">
        <v>45</v>
      </c>
    </row>
    <row r="182" spans="1:1" x14ac:dyDescent="0.25">
      <c r="A182" s="2" t="s">
        <v>29</v>
      </c>
    </row>
    <row r="183" spans="1:1" x14ac:dyDescent="0.25">
      <c r="A183" s="2" t="s">
        <v>41</v>
      </c>
    </row>
    <row r="184" spans="1:1" x14ac:dyDescent="0.25">
      <c r="A184" s="2" t="s">
        <v>33</v>
      </c>
    </row>
    <row r="185" spans="1:1" x14ac:dyDescent="0.25">
      <c r="A185" s="2" t="s">
        <v>41</v>
      </c>
    </row>
    <row r="186" spans="1:1" x14ac:dyDescent="0.25">
      <c r="A186" s="2" t="s">
        <v>43</v>
      </c>
    </row>
    <row r="187" spans="1:1" x14ac:dyDescent="0.25">
      <c r="A187" s="2" t="s">
        <v>43</v>
      </c>
    </row>
    <row r="188" spans="1:1" x14ac:dyDescent="0.25">
      <c r="A188" s="2" t="s">
        <v>29</v>
      </c>
    </row>
    <row r="189" spans="1:1" x14ac:dyDescent="0.25">
      <c r="A189" s="2" t="s">
        <v>29</v>
      </c>
    </row>
    <row r="190" spans="1:1" x14ac:dyDescent="0.25">
      <c r="A190" s="2" t="s">
        <v>31</v>
      </c>
    </row>
    <row r="191" spans="1:1" x14ac:dyDescent="0.25">
      <c r="A191" s="2" t="s">
        <v>43</v>
      </c>
    </row>
    <row r="192" spans="1:1" x14ac:dyDescent="0.25">
      <c r="A192" s="2" t="s">
        <v>24</v>
      </c>
    </row>
    <row r="193" spans="1:1" x14ac:dyDescent="0.25">
      <c r="A193" s="2" t="s">
        <v>41</v>
      </c>
    </row>
    <row r="194" spans="1:1" x14ac:dyDescent="0.25">
      <c r="A194" s="2" t="s">
        <v>35</v>
      </c>
    </row>
    <row r="195" spans="1:1" x14ac:dyDescent="0.25">
      <c r="A195" s="2" t="s">
        <v>43</v>
      </c>
    </row>
    <row r="196" spans="1:1" x14ac:dyDescent="0.25">
      <c r="A196" s="2" t="s">
        <v>25</v>
      </c>
    </row>
    <row r="197" spans="1:1" x14ac:dyDescent="0.25">
      <c r="A197" s="2" t="s">
        <v>33</v>
      </c>
    </row>
    <row r="198" spans="1:1" x14ac:dyDescent="0.25">
      <c r="A198" s="2" t="s">
        <v>29</v>
      </c>
    </row>
    <row r="199" spans="1:1" x14ac:dyDescent="0.25">
      <c r="A199" s="2" t="s">
        <v>41</v>
      </c>
    </row>
    <row r="200" spans="1:1" x14ac:dyDescent="0.25">
      <c r="A200" s="2" t="s">
        <v>29</v>
      </c>
    </row>
    <row r="201" spans="1:1" x14ac:dyDescent="0.25">
      <c r="A201" s="2" t="s">
        <v>24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workbookViewId="0">
      <selection activeCell="B21" sqref="B1:B21"/>
    </sheetView>
  </sheetViews>
  <sheetFormatPr defaultRowHeight="14" x14ac:dyDescent="0.25"/>
  <cols>
    <col min="1" max="1" width="33" bestFit="1" customWidth="1"/>
    <col min="2" max="2" width="5.26953125" bestFit="1" customWidth="1"/>
  </cols>
  <sheetData>
    <row r="1" spans="1:2" x14ac:dyDescent="0.25">
      <c r="A1" s="2" t="s">
        <v>12</v>
      </c>
      <c r="B1" s="3" t="s">
        <v>22</v>
      </c>
    </row>
    <row r="2" spans="1:2" x14ac:dyDescent="0.25">
      <c r="A2" s="2" t="s">
        <v>20</v>
      </c>
      <c r="B2" s="3" t="s">
        <v>48</v>
      </c>
    </row>
    <row r="3" spans="1:2" x14ac:dyDescent="0.25">
      <c r="A3" s="2" t="s">
        <v>6</v>
      </c>
      <c r="B3" s="3" t="s">
        <v>27</v>
      </c>
    </row>
    <row r="4" spans="1:2" x14ac:dyDescent="0.25">
      <c r="A4" s="2" t="s">
        <v>11</v>
      </c>
      <c r="B4" s="3" t="s">
        <v>28</v>
      </c>
    </row>
    <row r="5" spans="1:2" x14ac:dyDescent="0.25">
      <c r="A5" s="2" t="s">
        <v>16</v>
      </c>
      <c r="B5" s="3" t="s">
        <v>30</v>
      </c>
    </row>
    <row r="6" spans="1:2" x14ac:dyDescent="0.25">
      <c r="A6" s="2" t="s">
        <v>17</v>
      </c>
      <c r="B6" s="3" t="s">
        <v>30</v>
      </c>
    </row>
    <row r="7" spans="1:2" x14ac:dyDescent="0.25">
      <c r="A7" s="2" t="s">
        <v>19</v>
      </c>
      <c r="B7" s="3" t="s">
        <v>30</v>
      </c>
    </row>
    <row r="8" spans="1:2" x14ac:dyDescent="0.25">
      <c r="A8" s="2" t="s">
        <v>21</v>
      </c>
      <c r="B8" s="3" t="s">
        <v>30</v>
      </c>
    </row>
    <row r="9" spans="1:2" x14ac:dyDescent="0.25">
      <c r="A9" s="2" t="s">
        <v>15</v>
      </c>
      <c r="B9" s="3" t="s">
        <v>23</v>
      </c>
    </row>
    <row r="10" spans="1:2" x14ac:dyDescent="0.25">
      <c r="A10" s="2" t="s">
        <v>2</v>
      </c>
      <c r="B10" s="3" t="s">
        <v>32</v>
      </c>
    </row>
    <row r="11" spans="1:2" x14ac:dyDescent="0.25">
      <c r="A11" s="2" t="s">
        <v>8</v>
      </c>
      <c r="B11" s="3" t="s">
        <v>34</v>
      </c>
    </row>
    <row r="12" spans="1:2" x14ac:dyDescent="0.25">
      <c r="A12" s="2" t="s">
        <v>7</v>
      </c>
      <c r="B12" s="3" t="s">
        <v>34</v>
      </c>
    </row>
    <row r="13" spans="1:2" x14ac:dyDescent="0.25">
      <c r="A13" s="2" t="s">
        <v>1</v>
      </c>
      <c r="B13" s="3" t="s">
        <v>34</v>
      </c>
    </row>
    <row r="14" spans="1:2" x14ac:dyDescent="0.25">
      <c r="A14" s="2" t="s">
        <v>18</v>
      </c>
      <c r="B14" s="3" t="s">
        <v>36</v>
      </c>
    </row>
    <row r="15" spans="1:2" x14ac:dyDescent="0.25">
      <c r="A15" s="2" t="s">
        <v>13</v>
      </c>
      <c r="B15" s="3" t="s">
        <v>36</v>
      </c>
    </row>
    <row r="16" spans="1:2" x14ac:dyDescent="0.25">
      <c r="A16" s="2" t="s">
        <v>3</v>
      </c>
      <c r="B16" s="3" t="s">
        <v>38</v>
      </c>
    </row>
    <row r="17" spans="1:2" x14ac:dyDescent="0.25">
      <c r="A17" s="2" t="s">
        <v>10</v>
      </c>
      <c r="B17" s="3" t="s">
        <v>40</v>
      </c>
    </row>
    <row r="18" spans="1:2" x14ac:dyDescent="0.25">
      <c r="A18" s="2" t="s">
        <v>9</v>
      </c>
      <c r="B18" s="3" t="s">
        <v>42</v>
      </c>
    </row>
    <row r="19" spans="1:2" x14ac:dyDescent="0.25">
      <c r="A19" s="2" t="s">
        <v>4</v>
      </c>
      <c r="B19" s="3" t="s">
        <v>44</v>
      </c>
    </row>
    <row r="20" spans="1:2" x14ac:dyDescent="0.25">
      <c r="A20" s="2" t="s">
        <v>14</v>
      </c>
      <c r="B20" s="3" t="s">
        <v>44</v>
      </c>
    </row>
    <row r="21" spans="1:2" x14ac:dyDescent="0.25">
      <c r="A21" s="2" t="s">
        <v>5</v>
      </c>
      <c r="B21" s="3" t="s">
        <v>46</v>
      </c>
    </row>
  </sheetData>
  <sortState ref="A1:B21">
    <sortCondition ref="A1:A21"/>
  </sortState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3"/>
  <sheetViews>
    <sheetView tabSelected="1" topLeftCell="C1" workbookViewId="0">
      <selection activeCell="K1" sqref="K1:K21"/>
    </sheetView>
  </sheetViews>
  <sheetFormatPr defaultRowHeight="14" x14ac:dyDescent="0.25"/>
  <cols>
    <col min="1" max="1" width="4.26953125" bestFit="1" customWidth="1"/>
    <col min="2" max="2" width="35.1796875" bestFit="1" customWidth="1"/>
    <col min="3" max="3" width="13.54296875" bestFit="1" customWidth="1"/>
    <col min="4" max="4" width="4.26953125" bestFit="1" customWidth="1"/>
    <col min="5" max="5" width="5.26953125" bestFit="1" customWidth="1"/>
    <col min="6" max="6" width="8.26953125" bestFit="1" customWidth="1"/>
    <col min="7" max="10" width="8.26953125" customWidth="1"/>
    <col min="11" max="11" width="73.54296875" customWidth="1"/>
    <col min="12" max="12" width="5.26953125" bestFit="1" customWidth="1"/>
    <col min="13" max="13" width="43.81640625" bestFit="1" customWidth="1"/>
    <col min="14" max="14" width="9.26953125" bestFit="1" customWidth="1"/>
    <col min="15" max="16" width="2.26953125" bestFit="1" customWidth="1"/>
    <col min="17" max="17" width="122.54296875" bestFit="1" customWidth="1"/>
    <col min="18" max="18" width="81.54296875" bestFit="1" customWidth="1"/>
    <col min="19" max="20" width="62.08984375" bestFit="1" customWidth="1"/>
  </cols>
  <sheetData>
    <row r="1" spans="1:20" x14ac:dyDescent="0.25">
      <c r="A1" t="s">
        <v>49</v>
      </c>
      <c r="B1" t="s">
        <v>117</v>
      </c>
      <c r="C1" t="s">
        <v>119</v>
      </c>
      <c r="D1" t="s">
        <v>120</v>
      </c>
      <c r="E1" t="s">
        <v>115</v>
      </c>
      <c r="F1" t="s">
        <v>116</v>
      </c>
      <c r="G1" t="s">
        <v>121</v>
      </c>
      <c r="H1" t="s">
        <v>122</v>
      </c>
      <c r="I1" t="s">
        <v>123</v>
      </c>
      <c r="J1" t="s">
        <v>124</v>
      </c>
      <c r="K1" t="str">
        <f>C1&amp;A1&amp;D1&amp;A1&amp;E1&amp;A1&amp;F1&amp;G1&amp;A1&amp;H1&amp;A1&amp;I1&amp;A1&amp;J1</f>
        <v>if (length(y1)==0) y1&lt;-c(y1,15000) else y1&lt;-c(y1,mean(y1)+100)</v>
      </c>
      <c r="L1" s="3" t="s">
        <v>22</v>
      </c>
      <c r="M1" t="s">
        <v>93</v>
      </c>
      <c r="N1" s="4" t="s">
        <v>92</v>
      </c>
      <c r="O1" s="4" t="s">
        <v>70</v>
      </c>
      <c r="P1" s="4" t="s">
        <v>71</v>
      </c>
      <c r="Q1" s="4" t="str">
        <f>P1&amp;L1&amp;P1&amp;O1</f>
        <v>"DD",</v>
      </c>
      <c r="R1" s="4" t="str">
        <f>A1&amp;O1</f>
        <v>y1,</v>
      </c>
      <c r="S1" t="str">
        <f>A1&amp;M1&amp;"'"&amp;L1&amp;"'"&amp;N1</f>
        <v>y1&lt;- c(anjukefile$ckjg1[anjukefile$qywz1=='DD'],15000)</v>
      </c>
      <c r="T1" t="s">
        <v>94</v>
      </c>
    </row>
    <row r="2" spans="1:20" x14ac:dyDescent="0.25">
      <c r="A2" t="s">
        <v>50</v>
      </c>
      <c r="C2" t="s">
        <v>119</v>
      </c>
      <c r="D2" t="s">
        <v>120</v>
      </c>
      <c r="E2" t="s">
        <v>115</v>
      </c>
      <c r="F2" t="s">
        <v>116</v>
      </c>
      <c r="G2" t="s">
        <v>121</v>
      </c>
      <c r="H2" t="s">
        <v>122</v>
      </c>
      <c r="I2" t="s">
        <v>123</v>
      </c>
      <c r="J2" t="s">
        <v>124</v>
      </c>
      <c r="K2" t="str">
        <f t="shared" ref="K2:K21" si="0">C2&amp;A2&amp;D2&amp;A2&amp;E2&amp;A2&amp;F2&amp;G2&amp;A2&amp;H2&amp;A2&amp;I2&amp;A2&amp;J2</f>
        <v>if (length(y2)==0) y2&lt;-c(y2,15000) else y2&lt;-c(y2,mean(y2)+100)</v>
      </c>
      <c r="L2" s="3" t="s">
        <v>73</v>
      </c>
      <c r="M2" t="s">
        <v>93</v>
      </c>
      <c r="N2" s="4" t="s">
        <v>92</v>
      </c>
      <c r="O2" s="4" t="s">
        <v>70</v>
      </c>
      <c r="P2" s="4" t="s">
        <v>71</v>
      </c>
      <c r="Q2" s="4" t="str">
        <f t="shared" ref="Q2:Q21" si="1">P2&amp;L2&amp;P2&amp;O2</f>
        <v>"GAGA",</v>
      </c>
      <c r="R2" s="4" t="str">
        <f t="shared" ref="R2:R21" si="2">A2&amp;O2</f>
        <v>y2,</v>
      </c>
      <c r="S2" t="str">
        <f t="shared" ref="S2:S21" si="3">A2&amp;M2&amp;"'"&amp;L2&amp;"'"&amp;N2</f>
        <v>y2&lt;- c(anjukefile$ckjg1[anjukefile$qywz1=='GAGA'],15000)</v>
      </c>
      <c r="T2" t="s">
        <v>95</v>
      </c>
    </row>
    <row r="3" spans="1:20" x14ac:dyDescent="0.25">
      <c r="A3" t="s">
        <v>51</v>
      </c>
      <c r="C3" t="s">
        <v>119</v>
      </c>
      <c r="D3" t="s">
        <v>120</v>
      </c>
      <c r="E3" t="s">
        <v>115</v>
      </c>
      <c r="F3" t="s">
        <v>116</v>
      </c>
      <c r="G3" t="s">
        <v>121</v>
      </c>
      <c r="H3" t="s">
        <v>122</v>
      </c>
      <c r="I3" t="s">
        <v>123</v>
      </c>
      <c r="J3" t="s">
        <v>124</v>
      </c>
      <c r="K3" t="str">
        <f t="shared" si="0"/>
        <v>if (length(y3)==0) y3&lt;-c(y3,15000) else y3&lt;-c(y3,mean(y3)+100)</v>
      </c>
      <c r="L3" s="3" t="s">
        <v>27</v>
      </c>
      <c r="M3" t="s">
        <v>93</v>
      </c>
      <c r="N3" s="4" t="s">
        <v>92</v>
      </c>
      <c r="O3" s="4" t="s">
        <v>70</v>
      </c>
      <c r="P3" s="4" t="s">
        <v>71</v>
      </c>
      <c r="Q3" s="4" t="str">
        <f t="shared" si="1"/>
        <v>"GG",</v>
      </c>
      <c r="R3" s="4" t="str">
        <f t="shared" si="2"/>
        <v>y3,</v>
      </c>
      <c r="S3" t="str">
        <f t="shared" si="3"/>
        <v>y3&lt;- c(anjukefile$ckjg1[anjukefile$qywz1=='GG'],15000)</v>
      </c>
      <c r="T3" t="s">
        <v>96</v>
      </c>
    </row>
    <row r="4" spans="1:20" x14ac:dyDescent="0.25">
      <c r="A4" t="s">
        <v>52</v>
      </c>
      <c r="C4" t="s">
        <v>119</v>
      </c>
      <c r="D4" t="s">
        <v>120</v>
      </c>
      <c r="E4" t="s">
        <v>115</v>
      </c>
      <c r="F4" t="s">
        <v>116</v>
      </c>
      <c r="G4" t="s">
        <v>121</v>
      </c>
      <c r="H4" t="s">
        <v>122</v>
      </c>
      <c r="I4" t="s">
        <v>123</v>
      </c>
      <c r="J4" t="s">
        <v>124</v>
      </c>
      <c r="K4" t="str">
        <f t="shared" si="0"/>
        <v>if (length(y4)==0) y4&lt;-c(y4,15000) else y4&lt;-c(y4,mean(y4)+100)</v>
      </c>
      <c r="L4" s="3" t="s">
        <v>74</v>
      </c>
      <c r="M4" t="s">
        <v>93</v>
      </c>
      <c r="N4" s="4" t="s">
        <v>92</v>
      </c>
      <c r="O4" s="4" t="s">
        <v>70</v>
      </c>
      <c r="P4" s="4" t="s">
        <v>71</v>
      </c>
      <c r="Q4" s="4" t="str">
        <f t="shared" si="1"/>
        <v>"GJ",</v>
      </c>
      <c r="R4" s="4" t="str">
        <f t="shared" si="2"/>
        <v>y4,</v>
      </c>
      <c r="S4" t="str">
        <f t="shared" si="3"/>
        <v>y4&lt;- c(anjukefile$ckjg1[anjukefile$qywz1=='GJ'],15000)</v>
      </c>
      <c r="T4" t="s">
        <v>97</v>
      </c>
    </row>
    <row r="5" spans="1:20" x14ac:dyDescent="0.25">
      <c r="A5" t="s">
        <v>53</v>
      </c>
      <c r="C5" t="s">
        <v>119</v>
      </c>
      <c r="D5" t="s">
        <v>120</v>
      </c>
      <c r="E5" t="s">
        <v>115</v>
      </c>
      <c r="F5" t="s">
        <v>116</v>
      </c>
      <c r="G5" t="s">
        <v>121</v>
      </c>
      <c r="H5" t="s">
        <v>122</v>
      </c>
      <c r="I5" t="s">
        <v>123</v>
      </c>
      <c r="J5" t="s">
        <v>124</v>
      </c>
      <c r="K5" t="str">
        <f t="shared" si="0"/>
        <v>if (length(y5)==0) y5&lt;-c(y5,15000) else y5&lt;-c(y5,mean(y5)+100)</v>
      </c>
      <c r="L5" s="3" t="s">
        <v>75</v>
      </c>
      <c r="M5" t="s">
        <v>93</v>
      </c>
      <c r="N5" s="4" t="s">
        <v>92</v>
      </c>
      <c r="O5" s="4" t="s">
        <v>70</v>
      </c>
      <c r="P5" s="4" t="s">
        <v>71</v>
      </c>
      <c r="Q5" s="4" t="str">
        <f t="shared" si="1"/>
        <v>"HF",</v>
      </c>
      <c r="R5" s="4" t="str">
        <f t="shared" si="2"/>
        <v>y5,</v>
      </c>
      <c r="S5" t="str">
        <f t="shared" si="3"/>
        <v>y5&lt;- c(anjukefile$ckjg1[anjukefile$qywz1=='HF'],15000)</v>
      </c>
      <c r="T5" t="s">
        <v>98</v>
      </c>
    </row>
    <row r="6" spans="1:20" x14ac:dyDescent="0.25">
      <c r="A6" t="s">
        <v>54</v>
      </c>
      <c r="C6" t="s">
        <v>119</v>
      </c>
      <c r="D6" t="s">
        <v>120</v>
      </c>
      <c r="E6" t="s">
        <v>115</v>
      </c>
      <c r="F6" t="s">
        <v>116</v>
      </c>
      <c r="G6" t="s">
        <v>121</v>
      </c>
      <c r="H6" t="s">
        <v>122</v>
      </c>
      <c r="I6" t="s">
        <v>123</v>
      </c>
      <c r="J6" t="s">
        <v>124</v>
      </c>
      <c r="K6" t="str">
        <f t="shared" si="0"/>
        <v>if (length(y6)==0) y6&lt;-c(y6,15000) else y6&lt;-c(y6,mean(y6)+100)</v>
      </c>
      <c r="L6" s="3" t="s">
        <v>76</v>
      </c>
      <c r="M6" t="s">
        <v>93</v>
      </c>
      <c r="N6" s="4" t="s">
        <v>92</v>
      </c>
      <c r="O6" s="4" t="s">
        <v>70</v>
      </c>
      <c r="P6" s="4" t="s">
        <v>71</v>
      </c>
      <c r="Q6" s="4" t="str">
        <f t="shared" si="1"/>
        <v>"HH",</v>
      </c>
      <c r="R6" s="4" t="str">
        <f t="shared" si="2"/>
        <v>y6,</v>
      </c>
      <c r="S6" t="str">
        <f t="shared" si="3"/>
        <v>y6&lt;- c(anjukefile$ckjg1[anjukefile$qywz1=='HH'],15000)</v>
      </c>
      <c r="T6" t="s">
        <v>99</v>
      </c>
    </row>
    <row r="7" spans="1:20" x14ac:dyDescent="0.25">
      <c r="A7" t="s">
        <v>55</v>
      </c>
      <c r="C7" t="s">
        <v>119</v>
      </c>
      <c r="D7" t="s">
        <v>120</v>
      </c>
      <c r="E7" t="s">
        <v>115</v>
      </c>
      <c r="F7" t="s">
        <v>116</v>
      </c>
      <c r="G7" t="s">
        <v>121</v>
      </c>
      <c r="H7" t="s">
        <v>122</v>
      </c>
      <c r="I7" t="s">
        <v>123</v>
      </c>
      <c r="J7" t="s">
        <v>124</v>
      </c>
      <c r="K7" t="str">
        <f t="shared" si="0"/>
        <v>if (length(y7)==0) y7&lt;-c(y7,15000) else y7&lt;-c(y7,mean(y7)+100)</v>
      </c>
      <c r="L7" s="3" t="s">
        <v>77</v>
      </c>
      <c r="M7" t="s">
        <v>93</v>
      </c>
      <c r="N7" s="4" t="s">
        <v>92</v>
      </c>
      <c r="O7" s="4" t="s">
        <v>70</v>
      </c>
      <c r="P7" s="4" t="s">
        <v>71</v>
      </c>
      <c r="Q7" s="4" t="str">
        <f t="shared" si="1"/>
        <v>"HGHJ",</v>
      </c>
      <c r="R7" s="4" t="str">
        <f t="shared" si="2"/>
        <v>y7,</v>
      </c>
      <c r="S7" t="str">
        <f t="shared" si="3"/>
        <v>y7&lt;- c(anjukefile$ckjg1[anjukefile$qywz1=='HGHJ'],15000)</v>
      </c>
      <c r="T7" t="s">
        <v>100</v>
      </c>
    </row>
    <row r="8" spans="1:20" x14ac:dyDescent="0.25">
      <c r="A8" t="s">
        <v>56</v>
      </c>
      <c r="C8" t="s">
        <v>119</v>
      </c>
      <c r="D8" t="s">
        <v>120</v>
      </c>
      <c r="E8" t="s">
        <v>115</v>
      </c>
      <c r="F8" t="s">
        <v>116</v>
      </c>
      <c r="G8" t="s">
        <v>121</v>
      </c>
      <c r="H8" t="s">
        <v>122</v>
      </c>
      <c r="I8" t="s">
        <v>123</v>
      </c>
      <c r="J8" t="s">
        <v>124</v>
      </c>
      <c r="K8" t="str">
        <f t="shared" si="0"/>
        <v>if (length(y8)==0) y8&lt;-c(y8,15000) else y8&lt;-c(y8,mean(y8)+100)</v>
      </c>
      <c r="L8" s="3" t="s">
        <v>78</v>
      </c>
      <c r="M8" t="s">
        <v>93</v>
      </c>
      <c r="N8" s="4" t="s">
        <v>92</v>
      </c>
      <c r="O8" s="4" t="s">
        <v>70</v>
      </c>
      <c r="P8" s="4" t="s">
        <v>71</v>
      </c>
      <c r="Q8" s="4" t="str">
        <f t="shared" si="1"/>
        <v>"HJ",</v>
      </c>
      <c r="R8" s="4" t="str">
        <f t="shared" si="2"/>
        <v>y8,</v>
      </c>
      <c r="S8" t="str">
        <f t="shared" si="3"/>
        <v>y8&lt;- c(anjukefile$ckjg1[anjukefile$qywz1=='HJ'],15000)</v>
      </c>
      <c r="T8" t="s">
        <v>101</v>
      </c>
    </row>
    <row r="9" spans="1:20" x14ac:dyDescent="0.25">
      <c r="A9" t="s">
        <v>57</v>
      </c>
      <c r="C9" t="s">
        <v>119</v>
      </c>
      <c r="D9" t="s">
        <v>120</v>
      </c>
      <c r="E9" t="s">
        <v>115</v>
      </c>
      <c r="F9" t="s">
        <v>116</v>
      </c>
      <c r="G9" t="s">
        <v>121</v>
      </c>
      <c r="H9" t="s">
        <v>122</v>
      </c>
      <c r="I9" t="s">
        <v>123</v>
      </c>
      <c r="J9" t="s">
        <v>124</v>
      </c>
      <c r="K9" t="str">
        <f t="shared" si="0"/>
        <v>if (length(y9)==0) y9&lt;-c(y9,15000) else y9&lt;-c(y9,mean(y9)+100)</v>
      </c>
      <c r="L9" s="3" t="s">
        <v>79</v>
      </c>
      <c r="M9" t="s">
        <v>93</v>
      </c>
      <c r="N9" s="4" t="s">
        <v>92</v>
      </c>
      <c r="O9" s="4" t="s">
        <v>70</v>
      </c>
      <c r="P9" s="4" t="s">
        <v>71</v>
      </c>
      <c r="Q9" s="4" t="str">
        <f t="shared" si="1"/>
        <v>"JX",</v>
      </c>
      <c r="R9" s="4" t="str">
        <f t="shared" si="2"/>
        <v>y9,</v>
      </c>
      <c r="S9" t="str">
        <f t="shared" si="3"/>
        <v>y9&lt;- c(anjukefile$ckjg1[anjukefile$qywz1=='JX'],15000)</v>
      </c>
      <c r="T9" t="s">
        <v>102</v>
      </c>
    </row>
    <row r="10" spans="1:20" x14ac:dyDescent="0.25">
      <c r="A10" t="s">
        <v>58</v>
      </c>
      <c r="C10" t="s">
        <v>119</v>
      </c>
      <c r="D10" t="s">
        <v>120</v>
      </c>
      <c r="E10" t="s">
        <v>115</v>
      </c>
      <c r="F10" t="s">
        <v>116</v>
      </c>
      <c r="G10" t="s">
        <v>121</v>
      </c>
      <c r="H10" t="s">
        <v>122</v>
      </c>
      <c r="I10" t="s">
        <v>123</v>
      </c>
      <c r="J10" t="s">
        <v>124</v>
      </c>
      <c r="K10" t="str">
        <f t="shared" si="0"/>
        <v>if (length(y10)==0) y10&lt;-c(y10,15000) else y10&lt;-c(y10,mean(y10)+100)</v>
      </c>
      <c r="L10" s="3" t="s">
        <v>80</v>
      </c>
      <c r="M10" t="s">
        <v>93</v>
      </c>
      <c r="N10" s="4" t="s">
        <v>92</v>
      </c>
      <c r="O10" s="4" t="s">
        <v>70</v>
      </c>
      <c r="P10" s="4" t="s">
        <v>71</v>
      </c>
      <c r="Q10" s="4" t="str">
        <f t="shared" si="1"/>
        <v>"JN",</v>
      </c>
      <c r="R10" s="4" t="str">
        <f t="shared" si="2"/>
        <v>y10,</v>
      </c>
      <c r="S10" t="str">
        <f t="shared" si="3"/>
        <v>y10&lt;- c(anjukefile$ckjg1[anjukefile$qywz1=='JN'],15000)</v>
      </c>
      <c r="T10" t="s">
        <v>103</v>
      </c>
    </row>
    <row r="11" spans="1:20" x14ac:dyDescent="0.25">
      <c r="A11" t="s">
        <v>59</v>
      </c>
      <c r="C11" t="s">
        <v>119</v>
      </c>
      <c r="D11" t="s">
        <v>120</v>
      </c>
      <c r="E11" t="s">
        <v>115</v>
      </c>
      <c r="F11" t="s">
        <v>116</v>
      </c>
      <c r="G11" t="s">
        <v>121</v>
      </c>
      <c r="H11" t="s">
        <v>122</v>
      </c>
      <c r="I11" t="s">
        <v>123</v>
      </c>
      <c r="J11" t="s">
        <v>124</v>
      </c>
      <c r="K11" t="str">
        <f t="shared" si="0"/>
        <v>if (length(y11)==0) y11&lt;-c(y11,15000) else y11&lt;-c(y11,mean(y11)+100)</v>
      </c>
      <c r="L11" s="3" t="s">
        <v>81</v>
      </c>
      <c r="M11" t="s">
        <v>93</v>
      </c>
      <c r="N11" s="4" t="s">
        <v>92</v>
      </c>
      <c r="O11" s="4" t="s">
        <v>70</v>
      </c>
      <c r="P11" s="4" t="s">
        <v>71</v>
      </c>
      <c r="Q11" s="4" t="str">
        <f t="shared" si="1"/>
        <v>"NL",</v>
      </c>
      <c r="R11" s="4" t="str">
        <f t="shared" si="2"/>
        <v>y11,</v>
      </c>
      <c r="S11" t="str">
        <f t="shared" si="3"/>
        <v>y11&lt;- c(anjukefile$ckjg1[anjukefile$qywz1=='NL'],15000)</v>
      </c>
      <c r="T11" t="s">
        <v>104</v>
      </c>
    </row>
    <row r="12" spans="1:20" x14ac:dyDescent="0.25">
      <c r="A12" t="s">
        <v>60</v>
      </c>
      <c r="C12" t="s">
        <v>119</v>
      </c>
      <c r="D12" t="s">
        <v>120</v>
      </c>
      <c r="E12" t="s">
        <v>115</v>
      </c>
      <c r="F12" t="s">
        <v>116</v>
      </c>
      <c r="G12" t="s">
        <v>121</v>
      </c>
      <c r="H12" t="s">
        <v>122</v>
      </c>
      <c r="I12" t="s">
        <v>123</v>
      </c>
      <c r="J12" t="s">
        <v>124</v>
      </c>
      <c r="K12" t="str">
        <f t="shared" si="0"/>
        <v>if (length(y12)==0) y12&lt;-c(y12,15000) else y12&lt;-c(y12,mean(y12)+100)</v>
      </c>
      <c r="L12" s="3" t="s">
        <v>82</v>
      </c>
      <c r="M12" t="s">
        <v>93</v>
      </c>
      <c r="N12" s="4" t="s">
        <v>92</v>
      </c>
      <c r="O12" s="4" t="s">
        <v>70</v>
      </c>
      <c r="P12" s="4" t="s">
        <v>71</v>
      </c>
      <c r="Q12" s="4" t="str">
        <f t="shared" si="1"/>
        <v>"NN",</v>
      </c>
      <c r="R12" s="4" t="str">
        <f t="shared" si="2"/>
        <v>y12,</v>
      </c>
      <c r="S12" t="str">
        <f t="shared" si="3"/>
        <v>y12&lt;- c(anjukefile$ckjg1[anjukefile$qywz1=='NN'],15000)</v>
      </c>
      <c r="T12" t="s">
        <v>105</v>
      </c>
    </row>
    <row r="13" spans="1:20" x14ac:dyDescent="0.25">
      <c r="A13" t="s">
        <v>61</v>
      </c>
      <c r="C13" t="s">
        <v>119</v>
      </c>
      <c r="D13" t="s">
        <v>120</v>
      </c>
      <c r="E13" t="s">
        <v>115</v>
      </c>
      <c r="F13" t="s">
        <v>116</v>
      </c>
      <c r="G13" t="s">
        <v>121</v>
      </c>
      <c r="H13" t="s">
        <v>122</v>
      </c>
      <c r="I13" t="s">
        <v>123</v>
      </c>
      <c r="J13" t="s">
        <v>124</v>
      </c>
      <c r="K13" t="str">
        <f t="shared" si="0"/>
        <v>if (length(y13)==0) y13&lt;-c(y13,15000) else y13&lt;-c(y13,mean(y13)+100)</v>
      </c>
      <c r="L13" s="3" t="s">
        <v>83</v>
      </c>
      <c r="M13" t="s">
        <v>93</v>
      </c>
      <c r="N13" s="4" t="s">
        <v>92</v>
      </c>
      <c r="O13" s="4" t="s">
        <v>70</v>
      </c>
      <c r="P13" s="4" t="s">
        <v>71</v>
      </c>
      <c r="Q13" s="4" t="str">
        <f t="shared" si="1"/>
        <v>"NX",</v>
      </c>
      <c r="R13" s="4" t="str">
        <f t="shared" si="2"/>
        <v>y13,</v>
      </c>
      <c r="S13" t="str">
        <f t="shared" si="3"/>
        <v>y13&lt;- c(anjukefile$ckjg1[anjukefile$qywz1=='NX'],15000)</v>
      </c>
      <c r="T13" t="s">
        <v>106</v>
      </c>
    </row>
    <row r="14" spans="1:20" x14ac:dyDescent="0.25">
      <c r="A14" t="s">
        <v>62</v>
      </c>
      <c r="C14" t="s">
        <v>119</v>
      </c>
      <c r="D14" t="s">
        <v>120</v>
      </c>
      <c r="E14" t="s">
        <v>115</v>
      </c>
      <c r="F14" t="s">
        <v>116</v>
      </c>
      <c r="G14" t="s">
        <v>121</v>
      </c>
      <c r="H14" t="s">
        <v>122</v>
      </c>
      <c r="I14" t="s">
        <v>123</v>
      </c>
      <c r="J14" t="s">
        <v>124</v>
      </c>
      <c r="K14" t="str">
        <f t="shared" si="0"/>
        <v>if (length(y14)==0) y14&lt;-c(y14,15000) else y14&lt;-c(y14,mean(y14)+100)</v>
      </c>
      <c r="L14" s="3" t="s">
        <v>84</v>
      </c>
      <c r="M14" t="s">
        <v>93</v>
      </c>
      <c r="N14" s="4" t="s">
        <v>92</v>
      </c>
      <c r="O14" s="4" t="s">
        <v>70</v>
      </c>
      <c r="P14" s="4" t="s">
        <v>71</v>
      </c>
      <c r="Q14" s="4" t="str">
        <f t="shared" si="1"/>
        <v>"QC",</v>
      </c>
      <c r="R14" s="4" t="str">
        <f t="shared" si="2"/>
        <v>y14,</v>
      </c>
      <c r="S14" t="str">
        <f t="shared" si="3"/>
        <v>y14&lt;- c(anjukefile$ckjg1[anjukefile$qywz1=='QC'],15000)</v>
      </c>
      <c r="T14" t="s">
        <v>107</v>
      </c>
    </row>
    <row r="15" spans="1:20" x14ac:dyDescent="0.25">
      <c r="A15" t="s">
        <v>63</v>
      </c>
      <c r="C15" t="s">
        <v>119</v>
      </c>
      <c r="D15" t="s">
        <v>120</v>
      </c>
      <c r="E15" t="s">
        <v>115</v>
      </c>
      <c r="F15" t="s">
        <v>116</v>
      </c>
      <c r="G15" t="s">
        <v>121</v>
      </c>
      <c r="H15" t="s">
        <v>122</v>
      </c>
      <c r="I15" t="s">
        <v>123</v>
      </c>
      <c r="J15" t="s">
        <v>124</v>
      </c>
      <c r="K15" t="str">
        <f t="shared" si="0"/>
        <v>if (length(y15)==0) y15&lt;-c(y15,15000) else y15&lt;-c(y15,mean(y15)+100)</v>
      </c>
      <c r="L15" s="3" t="s">
        <v>85</v>
      </c>
      <c r="M15" t="s">
        <v>93</v>
      </c>
      <c r="N15" s="4" t="s">
        <v>92</v>
      </c>
      <c r="O15" s="4" t="s">
        <v>70</v>
      </c>
      <c r="P15" s="4" t="s">
        <v>71</v>
      </c>
      <c r="Q15" s="4" t="str">
        <f t="shared" si="1"/>
        <v>"QSQS",</v>
      </c>
      <c r="R15" s="4" t="str">
        <f t="shared" si="2"/>
        <v>y15,</v>
      </c>
      <c r="S15" t="str">
        <f t="shared" si="3"/>
        <v>y15&lt;- c(anjukefile$ckjg1[anjukefile$qywz1=='QSQS'],15000)</v>
      </c>
      <c r="T15" t="s">
        <v>108</v>
      </c>
    </row>
    <row r="16" spans="1:20" x14ac:dyDescent="0.25">
      <c r="A16" t="s">
        <v>64</v>
      </c>
      <c r="C16" t="s">
        <v>119</v>
      </c>
      <c r="D16" t="s">
        <v>120</v>
      </c>
      <c r="E16" t="s">
        <v>115</v>
      </c>
      <c r="F16" t="s">
        <v>116</v>
      </c>
      <c r="G16" t="s">
        <v>121</v>
      </c>
      <c r="H16" t="s">
        <v>122</v>
      </c>
      <c r="I16" t="s">
        <v>123</v>
      </c>
      <c r="J16" t="s">
        <v>124</v>
      </c>
      <c r="K16" t="str">
        <f t="shared" si="0"/>
        <v>if (length(y16)==0) y16&lt;-c(y16,15000) else y16&lt;-c(y16,mean(y16)+100)</v>
      </c>
      <c r="L16" s="3" t="s">
        <v>86</v>
      </c>
      <c r="M16" t="s">
        <v>93</v>
      </c>
      <c r="N16" s="4" t="s">
        <v>92</v>
      </c>
      <c r="O16" s="4" t="s">
        <v>70</v>
      </c>
      <c r="P16" s="4" t="s">
        <v>71</v>
      </c>
      <c r="Q16" s="4" t="str">
        <f t="shared" si="1"/>
        <v>"QQ",</v>
      </c>
      <c r="R16" s="4" t="str">
        <f t="shared" si="2"/>
        <v>y16,</v>
      </c>
      <c r="S16" t="str">
        <f t="shared" si="3"/>
        <v>y16&lt;- c(anjukefile$ckjg1[anjukefile$qywz1=='QQ'],15000)</v>
      </c>
      <c r="T16" t="s">
        <v>109</v>
      </c>
    </row>
    <row r="17" spans="1:20" x14ac:dyDescent="0.25">
      <c r="A17" t="s">
        <v>65</v>
      </c>
      <c r="C17" t="s">
        <v>119</v>
      </c>
      <c r="D17" t="s">
        <v>120</v>
      </c>
      <c r="E17" t="s">
        <v>115</v>
      </c>
      <c r="F17" t="s">
        <v>116</v>
      </c>
      <c r="G17" t="s">
        <v>121</v>
      </c>
      <c r="H17" t="s">
        <v>122</v>
      </c>
      <c r="I17" t="s">
        <v>123</v>
      </c>
      <c r="J17" t="s">
        <v>124</v>
      </c>
      <c r="K17" t="str">
        <f t="shared" si="0"/>
        <v>if (length(y17)==0) y17&lt;-c(y17,15000) else y17&lt;-c(y17,mean(y17)+100)</v>
      </c>
      <c r="L17" s="3" t="s">
        <v>87</v>
      </c>
      <c r="M17" t="s">
        <v>93</v>
      </c>
      <c r="N17" s="4" t="s">
        <v>92</v>
      </c>
      <c r="O17" s="4" t="s">
        <v>70</v>
      </c>
      <c r="P17" s="4" t="s">
        <v>71</v>
      </c>
      <c r="Q17" s="4" t="str">
        <f t="shared" si="1"/>
        <v>"SS",</v>
      </c>
      <c r="R17" s="4" t="str">
        <f t="shared" si="2"/>
        <v>y17,</v>
      </c>
      <c r="S17" t="str">
        <f t="shared" si="3"/>
        <v>y17&lt;- c(anjukefile$ckjg1[anjukefile$qywz1=='SS'],15000)</v>
      </c>
      <c r="T17" t="s">
        <v>110</v>
      </c>
    </row>
    <row r="18" spans="1:20" x14ac:dyDescent="0.25">
      <c r="A18" t="s">
        <v>66</v>
      </c>
      <c r="C18" t="s">
        <v>119</v>
      </c>
      <c r="D18" t="s">
        <v>120</v>
      </c>
      <c r="E18" t="s">
        <v>115</v>
      </c>
      <c r="F18" t="s">
        <v>116</v>
      </c>
      <c r="G18" t="s">
        <v>121</v>
      </c>
      <c r="H18" t="s">
        <v>122</v>
      </c>
      <c r="I18" t="s">
        <v>123</v>
      </c>
      <c r="J18" t="s">
        <v>124</v>
      </c>
      <c r="K18" t="str">
        <f t="shared" si="0"/>
        <v>if (length(y18)==0) y18&lt;-c(y18,15000) else y18&lt;-c(y18,mean(y18)+100)</v>
      </c>
      <c r="L18" s="3" t="s">
        <v>88</v>
      </c>
      <c r="M18" t="s">
        <v>93</v>
      </c>
      <c r="N18" s="4" t="s">
        <v>92</v>
      </c>
      <c r="O18" s="4" t="s">
        <v>70</v>
      </c>
      <c r="P18" s="4" t="s">
        <v>71</v>
      </c>
      <c r="Q18" s="4" t="str">
        <f t="shared" si="1"/>
        <v>"WW",</v>
      </c>
      <c r="R18" s="4" t="str">
        <f t="shared" si="2"/>
        <v>y18,</v>
      </c>
      <c r="S18" t="str">
        <f t="shared" si="3"/>
        <v>y18&lt;- c(anjukefile$ckjg1[anjukefile$qywz1=='WW'],15000)</v>
      </c>
      <c r="T18" t="s">
        <v>111</v>
      </c>
    </row>
    <row r="19" spans="1:20" x14ac:dyDescent="0.25">
      <c r="A19" t="s">
        <v>67</v>
      </c>
      <c r="C19" t="s">
        <v>119</v>
      </c>
      <c r="D19" t="s">
        <v>120</v>
      </c>
      <c r="E19" t="s">
        <v>115</v>
      </c>
      <c r="F19" t="s">
        <v>116</v>
      </c>
      <c r="G19" t="s">
        <v>121</v>
      </c>
      <c r="H19" t="s">
        <v>122</v>
      </c>
      <c r="I19" t="s">
        <v>123</v>
      </c>
      <c r="J19" t="s">
        <v>124</v>
      </c>
      <c r="K19" t="str">
        <f t="shared" si="0"/>
        <v>if (length(y19)==0) y19&lt;-c(y19,15000) else y19&lt;-c(y19,mean(y19)+100)</v>
      </c>
      <c r="L19" s="3" t="s">
        <v>89</v>
      </c>
      <c r="M19" t="s">
        <v>93</v>
      </c>
      <c r="N19" s="4" t="s">
        <v>92</v>
      </c>
      <c r="O19" s="4" t="s">
        <v>70</v>
      </c>
      <c r="P19" s="4" t="s">
        <v>71</v>
      </c>
      <c r="Q19" s="4" t="str">
        <f t="shared" si="1"/>
        <v>"XC",</v>
      </c>
      <c r="R19" s="4" t="str">
        <f t="shared" si="2"/>
        <v>y19,</v>
      </c>
      <c r="S19" t="str">
        <f t="shared" si="3"/>
        <v>y19&lt;- c(anjukefile$ckjg1[anjukefile$qywz1=='XC'],15000)</v>
      </c>
      <c r="T19" t="s">
        <v>112</v>
      </c>
    </row>
    <row r="20" spans="1:20" x14ac:dyDescent="0.25">
      <c r="A20" t="s">
        <v>68</v>
      </c>
      <c r="C20" t="s">
        <v>119</v>
      </c>
      <c r="D20" t="s">
        <v>120</v>
      </c>
      <c r="E20" t="s">
        <v>115</v>
      </c>
      <c r="F20" t="s">
        <v>116</v>
      </c>
      <c r="G20" t="s">
        <v>121</v>
      </c>
      <c r="H20" t="s">
        <v>122</v>
      </c>
      <c r="I20" t="s">
        <v>123</v>
      </c>
      <c r="J20" t="s">
        <v>124</v>
      </c>
      <c r="K20" t="str">
        <f t="shared" si="0"/>
        <v>if (length(y20)==0) y20&lt;-c(y20,15000) else y20&lt;-c(y20,mean(y20)+100)</v>
      </c>
      <c r="L20" s="3" t="s">
        <v>90</v>
      </c>
      <c r="M20" t="s">
        <v>93</v>
      </c>
      <c r="N20" s="4" t="s">
        <v>92</v>
      </c>
      <c r="O20" s="4" t="s">
        <v>70</v>
      </c>
      <c r="P20" s="4" t="s">
        <v>71</v>
      </c>
      <c r="Q20" s="4" t="str">
        <f t="shared" si="1"/>
        <v>"XHXH",</v>
      </c>
      <c r="R20" s="4" t="str">
        <f t="shared" si="2"/>
        <v>y20,</v>
      </c>
      <c r="S20" t="str">
        <f t="shared" si="3"/>
        <v>y20&lt;- c(anjukefile$ckjg1[anjukefile$qywz1=='XHXH'],15000)</v>
      </c>
      <c r="T20" t="s">
        <v>113</v>
      </c>
    </row>
    <row r="21" spans="1:20" x14ac:dyDescent="0.25">
      <c r="A21" t="s">
        <v>69</v>
      </c>
      <c r="C21" t="s">
        <v>119</v>
      </c>
      <c r="D21" t="s">
        <v>120</v>
      </c>
      <c r="E21" t="s">
        <v>115</v>
      </c>
      <c r="F21" t="s">
        <v>116</v>
      </c>
      <c r="G21" t="s">
        <v>121</v>
      </c>
      <c r="H21" t="s">
        <v>122</v>
      </c>
      <c r="I21" t="s">
        <v>123</v>
      </c>
      <c r="J21" t="s">
        <v>124</v>
      </c>
      <c r="K21" t="str">
        <f t="shared" si="0"/>
        <v>if (length(y21)==0) y21&lt;-c(y21,15000) else y21&lt;-c(y21,mean(y21)+100)</v>
      </c>
      <c r="L21" s="3" t="s">
        <v>91</v>
      </c>
      <c r="M21" t="s">
        <v>93</v>
      </c>
      <c r="N21" s="4" t="s">
        <v>92</v>
      </c>
      <c r="O21" s="4" t="s">
        <v>70</v>
      </c>
      <c r="P21" s="4" t="s">
        <v>71</v>
      </c>
      <c r="Q21" s="4" t="str">
        <f t="shared" si="1"/>
        <v>"XX",</v>
      </c>
      <c r="R21" s="4" t="str">
        <f t="shared" si="2"/>
        <v>y21,</v>
      </c>
      <c r="S21" t="str">
        <f t="shared" si="3"/>
        <v>y21&lt;- c(anjukefile$ckjg1[anjukefile$qywz1=='XX'],15000)</v>
      </c>
      <c r="T21" t="s">
        <v>114</v>
      </c>
    </row>
    <row r="22" spans="1:20" x14ac:dyDescent="0.25">
      <c r="Q22" t="str">
        <f>Q1&amp;Q2&amp;Q3&amp;Q4&amp;Q5&amp;Q6&amp;Q7&amp;Q8&amp;Q9&amp;Q10&amp;Q11&amp;Q12&amp;Q13&amp;Q14&amp;Q15&amp;Q16&amp;Q17&amp;Q18&amp;Q19&amp;Q20&amp;Q21</f>
        <v>"DD","GAGA","GG","GJ","HF","HH","HGHJ","HJ","JX","JN","NL","NN","NX","QC","QSQS","QQ","SS","WW","XC","XHXH","XX",</v>
      </c>
      <c r="R22" t="str">
        <f>R1&amp;R2&amp;R3&amp;R4&amp;R5&amp;R6&amp;R7&amp;R8&amp;R9&amp;R10&amp;R11&amp;R12&amp;R13&amp;R14&amp;R15&amp;R16&amp;R17&amp;R18&amp;R19&amp;R20&amp;R21</f>
        <v>y1,y2,y3,y4,y5,y6,y7,y8,y9,y10,y11,y12,y13,y14,y15,y16,y17,y18,y19,y20,y21,</v>
      </c>
    </row>
    <row r="23" spans="1:20" x14ac:dyDescent="0.25">
      <c r="Q23" t="s">
        <v>118</v>
      </c>
      <c r="R23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3"/>
  <sheetViews>
    <sheetView workbookViewId="0">
      <selection activeCell="K11" sqref="K11"/>
    </sheetView>
  </sheetViews>
  <sheetFormatPr defaultRowHeight="14" x14ac:dyDescent="0.25"/>
  <cols>
    <col min="1" max="1" width="5.26953125" bestFit="1" customWidth="1"/>
  </cols>
  <sheetData>
    <row r="1" spans="1:1" x14ac:dyDescent="0.25">
      <c r="A1" s="3" t="s">
        <v>22</v>
      </c>
    </row>
    <row r="2" spans="1:1" x14ac:dyDescent="0.25">
      <c r="A2" s="3" t="s">
        <v>48</v>
      </c>
    </row>
    <row r="3" spans="1:1" x14ac:dyDescent="0.25">
      <c r="A3" s="3" t="s">
        <v>27</v>
      </c>
    </row>
    <row r="4" spans="1:1" x14ac:dyDescent="0.25">
      <c r="A4" s="3" t="s">
        <v>30</v>
      </c>
    </row>
    <row r="5" spans="1:1" x14ac:dyDescent="0.25">
      <c r="A5" s="3" t="s">
        <v>23</v>
      </c>
    </row>
    <row r="6" spans="1:1" x14ac:dyDescent="0.25">
      <c r="A6" s="3" t="s">
        <v>32</v>
      </c>
    </row>
    <row r="7" spans="1:1" x14ac:dyDescent="0.25">
      <c r="A7" s="3" t="s">
        <v>34</v>
      </c>
    </row>
    <row r="8" spans="1:1" x14ac:dyDescent="0.25">
      <c r="A8" s="3" t="s">
        <v>36</v>
      </c>
    </row>
    <row r="9" spans="1:1" x14ac:dyDescent="0.25">
      <c r="A9" s="3" t="s">
        <v>38</v>
      </c>
    </row>
    <row r="10" spans="1:1" x14ac:dyDescent="0.25">
      <c r="A10" s="3" t="s">
        <v>40</v>
      </c>
    </row>
    <row r="11" spans="1:1" x14ac:dyDescent="0.25">
      <c r="A11" s="3" t="s">
        <v>42</v>
      </c>
    </row>
    <row r="12" spans="1:1" x14ac:dyDescent="0.25">
      <c r="A12" s="3" t="s">
        <v>44</v>
      </c>
    </row>
    <row r="13" spans="1:1" x14ac:dyDescent="0.25">
      <c r="A13" s="3" t="s">
        <v>46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Windows 用户</cp:lastModifiedBy>
  <cp:lastPrinted>2018-06-14T01:18:24Z</cp:lastPrinted>
  <dcterms:created xsi:type="dcterms:W3CDTF">2018-06-14T01:17:01Z</dcterms:created>
  <dcterms:modified xsi:type="dcterms:W3CDTF">2018-06-16T14:35:26Z</dcterms:modified>
</cp:coreProperties>
</file>